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omi\Downloads\Ecommerce-Sales-Analysis-TR\"/>
    </mc:Choice>
  </mc:AlternateContent>
  <xr:revisionPtr revIDLastSave="0" documentId="8_{F274A1F9-4BD2-4A90-9E17-42D6E297798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<sst xmlns="http://schemas.openxmlformats.org/spreadsheetml/2006/main" count="101" uniqueCount="77">
  <si>
    <t>ShopTR Analytics — E-Commerce Performance Dashboard</t>
  </si>
  <si>
    <t>Total Revenue</t>
  </si>
  <si>
    <t>Total Orders</t>
  </si>
  <si>
    <t>Avg Order Value</t>
  </si>
  <si>
    <t>Avg Rating</t>
  </si>
  <si>
    <t>Avg Delivery</t>
  </si>
  <si>
    <t>Discount Rate</t>
  </si>
  <si>
    <t>Returning Cust.</t>
  </si>
  <si>
    <t>New Customers</t>
  </si>
  <si>
    <t>21.78M TRY</t>
  </si>
  <si>
    <t>17,049</t>
  </si>
  <si>
    <t>1,277 TRY</t>
  </si>
  <si>
    <t>3.9/5.0</t>
  </si>
  <si>
    <t>6.5 days</t>
  </si>
  <si>
    <t>38.0%</t>
  </si>
  <si>
    <t>88.2%</t>
  </si>
  <si>
    <t>11.8%</t>
  </si>
  <si>
    <t>Month</t>
  </si>
  <si>
    <t>Revenue</t>
  </si>
  <si>
    <t>Orders</t>
  </si>
  <si>
    <t>Category</t>
  </si>
  <si>
    <t>Device</t>
  </si>
  <si>
    <t>AvgSession</t>
  </si>
  <si>
    <t>Method</t>
  </si>
  <si>
    <t>Count</t>
  </si>
  <si>
    <t>AvgRating</t>
  </si>
  <si>
    <t>Segment</t>
  </si>
  <si>
    <t>Customers</t>
  </si>
  <si>
    <t>Bracket</t>
  </si>
  <si>
    <t>Type</t>
  </si>
  <si>
    <t>City</t>
  </si>
  <si>
    <t>January 2023</t>
  </si>
  <si>
    <t>Electronics</t>
  </si>
  <si>
    <t>Desktop</t>
  </si>
  <si>
    <t>Bank Transfer</t>
  </si>
  <si>
    <t>Beauty</t>
  </si>
  <si>
    <t>Champions</t>
  </si>
  <si>
    <t>Fast (1-3d)</t>
  </si>
  <si>
    <t>New</t>
  </si>
  <si>
    <t>Istanbul</t>
  </si>
  <si>
    <t>February 2023</t>
  </si>
  <si>
    <t>Home &amp; Garden</t>
  </si>
  <si>
    <t>Mobile</t>
  </si>
  <si>
    <t>Cash on Delivery</t>
  </si>
  <si>
    <t>Books</t>
  </si>
  <si>
    <t>Loyal Customers</t>
  </si>
  <si>
    <t>Standard (4-7d)</t>
  </si>
  <si>
    <t>Returning</t>
  </si>
  <si>
    <t>Ankara</t>
  </si>
  <si>
    <t>March 2023</t>
  </si>
  <si>
    <t>Sports</t>
  </si>
  <si>
    <t>Tablet</t>
  </si>
  <si>
    <t>Credit Card</t>
  </si>
  <si>
    <t>Potential Loyalists</t>
  </si>
  <si>
    <t>Slow (8+d)</t>
  </si>
  <si>
    <t>Izmir</t>
  </si>
  <si>
    <t>April 2023</t>
  </si>
  <si>
    <t>Fashion</t>
  </si>
  <si>
    <t>Debit Card</t>
  </si>
  <si>
    <t>At-Risk</t>
  </si>
  <si>
    <t>Bursa</t>
  </si>
  <si>
    <t>May 2023</t>
  </si>
  <si>
    <t>Toys</t>
  </si>
  <si>
    <t>Digital Wallet</t>
  </si>
  <si>
    <t>Food</t>
  </si>
  <si>
    <t>Lost</t>
  </si>
  <si>
    <t>Antalya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</si>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</sst>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sz val="9"/>
      <color rgb="FFAED6F1"/>
      <name val="Calibri"/>
      <charset val="1"/>
    </font>
    <font>
      <b/>
      <sz val="14"/>
      <color rgb="FFFFFFFF"/>
      <name val="Calibri"/>
      <charset val="1"/>
    </font>
    <font>
      <sz val="8"/>
      <color rgb="FF85C1E9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0D2B55"/>
        <bgColor rgb="FF154360"/>
      </patternFill>
    </fill>
    <fill>
      <patternFill patternType="solid">
        <fgColor rgb="FF1A6BAB"/>
        <bgColor rgb="FF2471A3"/>
      </patternFill>
    </fill>
    <fill>
      <patternFill patternType="solid">
        <fgColor rgb="FF154360"/>
        <bgColor rgb="FF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A085"/>
      <rgbColor rgb="FF000080"/>
      <rgbColor rgb="FFD35400"/>
      <rgbColor rgb="FFC0504D"/>
      <rgbColor rgb="FF117A65"/>
      <rgbColor rgb="FFCCCCCC"/>
      <rgbColor rgb="FF878787"/>
      <rgbColor rgb="FF85C1E9"/>
      <rgbColor rgb="FF8E44AD"/>
      <rgbColor rgb="FFF9F9F9"/>
      <rgbColor rgb="FFEBF5FB"/>
      <rgbColor rgb="FF660066"/>
      <rgbColor rgb="FFE74C3C"/>
      <rgbColor rgb="FF1A6BAB"/>
      <rgbColor rgb="FFD9D9D9"/>
      <rgbColor rgb="FF000080"/>
      <rgbColor rgb="FFFF00FF"/>
      <rgbColor rgb="FFFFFF00"/>
      <rgbColor rgb="FF00FFFF"/>
      <rgbColor rgb="FF800080"/>
      <rgbColor rgb="FF800000"/>
      <rgbColor rgb="FF1A8754"/>
      <rgbColor rgb="FF0000FF"/>
      <rgbColor rgb="FF2E86C1"/>
      <rgbColor rgb="FFF0F7FF"/>
      <rgbColor rgb="FFD5E8D4"/>
      <rgbColor rgb="FFFFFF99"/>
      <rgbColor rgb="FFAED6F1"/>
      <rgbColor rgb="FFFF99CC"/>
      <rgbColor rgb="FFCC99FF"/>
      <rgbColor rgb="FFFADBD8"/>
      <rgbColor rgb="FF2874A6"/>
      <rgbColor rgb="FF4BACC6"/>
      <rgbColor rgb="FF9BBB59"/>
      <rgbColor rgb="FFFFCC00"/>
      <rgbColor rgb="FFF39C12"/>
      <rgbColor rgb="FFE67E22"/>
      <rgbColor rgb="FF8064A2"/>
      <rgbColor rgb="FF4F81BD"/>
      <rgbColor rgb="FF0D2B55"/>
      <rgbColor rgb="FF27AE60"/>
      <rgbColor rgb="FF2471A3"/>
      <rgbColor rgb="FF1F618D"/>
      <rgbColor rgb="FF922B21"/>
      <rgbColor rgb="FFC0392B"/>
      <rgbColor rgb="FF1A5276"/>
      <rgbColor rgb="FF15436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Monthly Revenue Trend (TRY)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DASHBOARD!$B$60</c:f>
              <c:strCache>
                <c:ptCount val="1"/>
                <c:pt idx="0">
                  <c:v>Revenue</c:v>
                </c:pt>
              </c:strCache>
            </c:strRef>
          </c:tx>
          <c:spPr>
            <a:ln w="20160">
              <a:solidFill>
                <a:srgbClr val="1A6BA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DASHBOARD!$A$61:$A$75</c:f>
              <c:strCache>
                <c:ptCount val="15"/>
                <c:pt idx="0">
                  <c:v>January 2023</c:v>
                </c:pt>
                <c:pt idx="1">
                  <c:v>February 2023</c:v>
                </c:pt>
                <c:pt idx="2">
                  <c:v>March 2023</c:v>
                </c:pt>
                <c:pt idx="3">
                  <c:v>April 2023</c:v>
                </c:pt>
                <c:pt idx="4">
                  <c:v>May 2023</c:v>
                </c:pt>
                <c:pt idx="5">
                  <c:v>June 2023</c:v>
                </c:pt>
                <c:pt idx="6">
                  <c:v>July 2023</c:v>
                </c:pt>
                <c:pt idx="7">
                  <c:v>August 2023</c:v>
                </c:pt>
                <c:pt idx="8">
                  <c:v>September 2023</c:v>
                </c:pt>
                <c:pt idx="9">
                  <c:v>October 2023</c:v>
                </c:pt>
                <c:pt idx="10">
                  <c:v>November 2023</c:v>
                </c:pt>
                <c:pt idx="11">
                  <c:v>December 2023</c:v>
                </c:pt>
                <c:pt idx="12">
                  <c:v>January 2024</c:v>
                </c:pt>
                <c:pt idx="13">
                  <c:v>February 2024</c:v>
                </c:pt>
                <c:pt idx="14">
                  <c:v>March 2024</c:v>
                </c:pt>
              </c:strCache>
            </c:strRef>
          </c:cat>
          <c:val>
            <c:numRef>
              <c:f>DASHBOARD!$B$61:$B$75</c:f>
              <c:numCache>
                <c:formatCode>General</c:formatCode>
                <c:ptCount val="15"/>
                <c:pt idx="0">
                  <c:v>1311603</c:v>
                </c:pt>
                <c:pt idx="1">
                  <c:v>1409777</c:v>
                </c:pt>
                <c:pt idx="2">
                  <c:v>1458006</c:v>
                </c:pt>
                <c:pt idx="3">
                  <c:v>1499648</c:v>
                </c:pt>
                <c:pt idx="4">
                  <c:v>1483512</c:v>
                </c:pt>
                <c:pt idx="5">
                  <c:v>1380985</c:v>
                </c:pt>
                <c:pt idx="6">
                  <c:v>1560046</c:v>
                </c:pt>
                <c:pt idx="7">
                  <c:v>1511000</c:v>
                </c:pt>
                <c:pt idx="8">
                  <c:v>1502164</c:v>
                </c:pt>
                <c:pt idx="9">
                  <c:v>1536847</c:v>
                </c:pt>
                <c:pt idx="10">
                  <c:v>1446440</c:v>
                </c:pt>
                <c:pt idx="11">
                  <c:v>1586214</c:v>
                </c:pt>
                <c:pt idx="12">
                  <c:v>1490825</c:v>
                </c:pt>
                <c:pt idx="13">
                  <c:v>1329884</c:v>
                </c:pt>
                <c:pt idx="14">
                  <c:v>1272102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A0-4EBD-84D7-402EBE415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9291205"/>
        <c:axId val="82501645"/>
      </c:lineChart>
      <c:catAx>
        <c:axId val="992912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501645"/>
        <c:crosses val="autoZero"/>
        <c:auto val="1"/>
        <c:lblAlgn val="ctr"/>
        <c:lblOffset val="100"/>
        <c:noMultiLvlLbl val="0"/>
      </c:catAx>
      <c:valAx>
        <c:axId val="82501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Revenue (TRY)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2912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Revenue by Product Category (TRY)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DASHBOARD!$F$60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86C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DASHBOARD!$E$61:$E$68</c:f>
              <c:strCache>
                <c:ptCount val="8"/>
                <c:pt idx="0">
                  <c:v>Electronics</c:v>
                </c:pt>
                <c:pt idx="1">
                  <c:v>Home &amp; Garden</c:v>
                </c:pt>
                <c:pt idx="2">
                  <c:v>Sports</c:v>
                </c:pt>
                <c:pt idx="3">
                  <c:v>Fashion</c:v>
                </c:pt>
                <c:pt idx="4">
                  <c:v>Toys</c:v>
                </c:pt>
                <c:pt idx="5">
                  <c:v>Beauty</c:v>
                </c:pt>
                <c:pt idx="6">
                  <c:v>Food</c:v>
                </c:pt>
                <c:pt idx="7">
                  <c:v>Books</c:v>
                </c:pt>
              </c:strCache>
            </c:strRef>
          </c:cat>
          <c:val>
            <c:numRef>
              <c:f>DASHBOARD!$F$61:$F$68</c:f>
              <c:numCache>
                <c:formatCode>General</c:formatCode>
                <c:ptCount val="8"/>
                <c:pt idx="0">
                  <c:v>10481898</c:v>
                </c:pt>
                <c:pt idx="1">
                  <c:v>4023904</c:v>
                </c:pt>
                <c:pt idx="2">
                  <c:v>3205087</c:v>
                </c:pt>
                <c:pt idx="3">
                  <c:v>1577036</c:v>
                </c:pt>
                <c:pt idx="4">
                  <c:v>1014238</c:v>
                </c:pt>
                <c:pt idx="5">
                  <c:v>694437</c:v>
                </c:pt>
                <c:pt idx="6">
                  <c:v>422055</c:v>
                </c:pt>
                <c:pt idx="7">
                  <c:v>360399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1-4414-99C1-2DF696DD5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35129"/>
        <c:axId val="77056246"/>
      </c:barChart>
      <c:catAx>
        <c:axId val="973512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Revenue (TRY)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056246"/>
        <c:crosses val="autoZero"/>
        <c:auto val="1"/>
        <c:lblAlgn val="ctr"/>
        <c:lblOffset val="100"/>
        <c:noMultiLvlLbl val="0"/>
      </c:catAx>
      <c:valAx>
        <c:axId val="7705624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351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Revenue by Device Type (TRY)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DASHBOARD!$I$60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17A6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DASHBOARD!$H$61:$H$63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DASHBOARD!$I$61:$I$63</c:f>
              <c:numCache>
                <c:formatCode>General</c:formatCode>
                <c:ptCount val="3"/>
                <c:pt idx="0">
                  <c:v>7661437</c:v>
                </c:pt>
                <c:pt idx="1">
                  <c:v>12028685</c:v>
                </c:pt>
                <c:pt idx="2">
                  <c:v>2088930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B-47A4-B7F9-2AFD59657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927102"/>
        <c:axId val="58334131"/>
      </c:barChart>
      <c:catAx>
        <c:axId val="649271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Device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334131"/>
        <c:crosses val="autoZero"/>
        <c:auto val="1"/>
        <c:lblAlgn val="ctr"/>
        <c:lblOffset val="100"/>
        <c:noMultiLvlLbl val="0"/>
      </c:catAx>
      <c:valAx>
        <c:axId val="583341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Revenue (TRY)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9271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Payment Method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DASHBOARD!$M$60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BB3-4AB4-825C-A0E6E8EA9E3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BB3-4AB4-825C-A0E6E8EA9E3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5BB3-4AB4-825C-A0E6E8EA9E3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5BB3-4AB4-825C-A0E6E8EA9E3A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5BB3-4AB4-825C-A0E6E8EA9E3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B3-4AB4-825C-A0E6E8EA9E3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B3-4AB4-825C-A0E6E8EA9E3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B3-4AB4-825C-A0E6E8EA9E3A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B3-4AB4-825C-A0E6E8EA9E3A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B3-4AB4-825C-A0E6E8EA9E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DASHBOARD!$L$61:$L$65</c:f>
              <c:strCache>
                <c:ptCount val="5"/>
                <c:pt idx="0">
                  <c:v>Bank Transfer</c:v>
                </c:pt>
                <c:pt idx="1">
                  <c:v>Cash on Delivery</c:v>
                </c:pt>
                <c:pt idx="2">
                  <c:v>Credit Card</c:v>
                </c:pt>
                <c:pt idx="3">
                  <c:v>Debit Card</c:v>
                </c:pt>
                <c:pt idx="4">
                  <c:v>Digital Wallet</c:v>
                </c:pt>
              </c:strCache>
            </c:strRef>
          </c:cat>
          <c:val>
            <c:numRef>
              <c:f>DASHBOARD!$M$61:$M$65</c:f>
              <c:numCache>
                <c:formatCode>General</c:formatCode>
                <c:ptCount val="5"/>
                <c:pt idx="0">
                  <c:v>1763</c:v>
                </c:pt>
                <c:pt idx="1">
                  <c:v>888</c:v>
                </c:pt>
                <c:pt idx="2">
                  <c:v>6801</c:v>
                </c:pt>
                <c:pt idx="3">
                  <c:v>4321</c:v>
                </c:pt>
                <c:pt idx="4">
                  <c:v>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BB3-4AB4-825C-A0E6E8EA9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Avg Customer Rating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DASHBOARD!$P$60</c:f>
              <c:strCache>
                <c:ptCount val="1"/>
                <c:pt idx="0">
                  <c:v>AvgRating</c:v>
                </c:pt>
              </c:strCache>
            </c:strRef>
          </c:tx>
          <c:spPr>
            <a:solidFill>
              <a:srgbClr val="8E44A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DASHBOARD!$O$61:$O$68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DASHBOARD!$P$61:$P$68</c:f>
              <c:numCache>
                <c:formatCode>General</c:formatCode>
                <c:ptCount val="8"/>
                <c:pt idx="0">
                  <c:v>3.92</c:v>
                </c:pt>
                <c:pt idx="1">
                  <c:v>3.88</c:v>
                </c:pt>
                <c:pt idx="2">
                  <c:v>3.9</c:v>
                </c:pt>
                <c:pt idx="3">
                  <c:v>3.89</c:v>
                </c:pt>
                <c:pt idx="4">
                  <c:v>3.86</c:v>
                </c:pt>
                <c:pt idx="5">
                  <c:v>3.93</c:v>
                </c:pt>
                <c:pt idx="6">
                  <c:v>3.92</c:v>
                </c:pt>
                <c:pt idx="7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A-4D0F-8EB3-47BF62959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544094"/>
        <c:axId val="76285251"/>
      </c:barChart>
      <c:catAx>
        <c:axId val="2754409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285251"/>
        <c:crosses val="autoZero"/>
        <c:auto val="1"/>
        <c:lblAlgn val="ctr"/>
        <c:lblOffset val="100"/>
        <c:noMultiLvlLbl val="0"/>
      </c:catAx>
      <c:valAx>
        <c:axId val="762852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5440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RFM Segment: Revenue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DASHBOARD!$T$60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DASHBOARD!$R$61:$R$65</c:f>
              <c:strCache>
                <c:ptCount val="5"/>
                <c:pt idx="0">
                  <c:v>Champions</c:v>
                </c:pt>
                <c:pt idx="1">
                  <c:v>Loyal Customers</c:v>
                </c:pt>
                <c:pt idx="2">
                  <c:v>Potential Loyalists</c:v>
                </c:pt>
                <c:pt idx="3">
                  <c:v>At-Risk</c:v>
                </c:pt>
                <c:pt idx="4">
                  <c:v>Lost</c:v>
                </c:pt>
              </c:strCache>
            </c:strRef>
          </c:cat>
          <c:val>
            <c:numRef>
              <c:f>DASHBOARD!$T$61:$T$65</c:f>
              <c:numCache>
                <c:formatCode>General</c:formatCode>
                <c:ptCount val="5"/>
                <c:pt idx="0">
                  <c:v>10687226</c:v>
                </c:pt>
                <c:pt idx="1">
                  <c:v>7447314</c:v>
                </c:pt>
                <c:pt idx="2">
                  <c:v>2886627</c:v>
                </c:pt>
                <c:pt idx="3">
                  <c:v>575284</c:v>
                </c:pt>
                <c:pt idx="4">
                  <c:v>182602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B-489E-BEBB-35F3AC9E5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9736"/>
        <c:axId val="48896329"/>
      </c:barChart>
      <c:catAx>
        <c:axId val="21297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896329"/>
        <c:crosses val="autoZero"/>
        <c:auto val="1"/>
        <c:lblAlgn val="ctr"/>
        <c:lblOffset val="100"/>
        <c:noMultiLvlLbl val="0"/>
      </c:catAx>
      <c:valAx>
        <c:axId val="488963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(TRY)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297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Delivery Speed vs Avg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DASHBOARD!$W$60</c:f>
              <c:strCache>
                <c:ptCount val="1"/>
                <c:pt idx="0">
                  <c:v>AvgRating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DASHBOARD!$V$61:$V$63</c:f>
              <c:strCache>
                <c:ptCount val="3"/>
                <c:pt idx="0">
                  <c:v>Fast (1-3d)</c:v>
                </c:pt>
                <c:pt idx="1">
                  <c:v>Standard (4-7d)</c:v>
                </c:pt>
                <c:pt idx="2">
                  <c:v>Slow (8+d)</c:v>
                </c:pt>
              </c:strCache>
            </c:strRef>
          </c:cat>
          <c:val>
            <c:numRef>
              <c:f>DASHBOARD!$W$61:$W$63</c:f>
              <c:numCache>
                <c:formatCode>General</c:formatCode>
                <c:ptCount val="3"/>
                <c:pt idx="0">
                  <c:v>3.91</c:v>
                </c:pt>
                <c:pt idx="1">
                  <c:v>3.9</c:v>
                </c:pt>
                <c:pt idx="2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6-4F55-AB6A-6A2CF79C4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797749"/>
        <c:axId val="13132060"/>
      </c:barChart>
      <c:catAx>
        <c:axId val="377977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Delivery Bracket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132060"/>
        <c:crosses val="autoZero"/>
        <c:auto val="1"/>
        <c:lblAlgn val="ctr"/>
        <c:lblOffset val="100"/>
        <c:noMultiLvlLbl val="0"/>
      </c:catAx>
      <c:valAx>
        <c:axId val="131320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7977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Returning vs New Customer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DASHBOARD!$AA$60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401-4FE1-B629-AE0E5AA49DA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401-4FE1-B629-AE0E5AA49DA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01-4FE1-B629-AE0E5AA49DA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01-4FE1-B629-AE0E5AA49D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DASHBOARD!$Z$61:$Z$62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DASHBOARD!$AA$61:$AA$62</c:f>
              <c:numCache>
                <c:formatCode>General</c:formatCode>
                <c:ptCount val="2"/>
                <c:pt idx="0">
                  <c:v>2588332</c:v>
                </c:pt>
                <c:pt idx="1">
                  <c:v>19190720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01-4FE1-B629-AE0E5AA49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Top 5 Cities by Revenue (TRY)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DASHBOARD!$AE$60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A875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DASHBOARD!$AD$61:$AD$65</c:f>
              <c:strCache>
                <c:ptCount val="5"/>
                <c:pt idx="0">
                  <c:v>Istanbul</c:v>
                </c:pt>
                <c:pt idx="1">
                  <c:v>Ankara</c:v>
                </c:pt>
                <c:pt idx="2">
                  <c:v>Izmir</c:v>
                </c:pt>
                <c:pt idx="3">
                  <c:v>Bursa</c:v>
                </c:pt>
                <c:pt idx="4">
                  <c:v>Antalya</c:v>
                </c:pt>
              </c:strCache>
            </c:strRef>
          </c:cat>
          <c:val>
            <c:numRef>
              <c:f>DASHBOARD!$AE$61:$AE$65</c:f>
              <c:numCache>
                <c:formatCode>General</c:formatCode>
                <c:ptCount val="5"/>
                <c:pt idx="0">
                  <c:v>5646596</c:v>
                </c:pt>
                <c:pt idx="1">
                  <c:v>3052443</c:v>
                </c:pt>
                <c:pt idx="2">
                  <c:v>2651744</c:v>
                </c:pt>
                <c:pt idx="3">
                  <c:v>2317028</c:v>
                </c:pt>
                <c:pt idx="4">
                  <c:v>1661594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9-4A9A-97EB-268407077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793328"/>
        <c:axId val="75970170"/>
      </c:barChart>
      <c:catAx>
        <c:axId val="7079332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Revenue (TRY)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970170"/>
        <c:crosses val="autoZero"/>
        <c:auto val="1"/>
        <c:lblAlgn val="ctr"/>
        <c:lblOffset val="100"/>
        <c:noMultiLvlLbl val="0"/>
      </c:catAx>
      <c:valAx>
        <c:axId val="759701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7933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37</xdr:col>
      <xdr:colOff>95760</xdr:colOff>
      <xdr:row>34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12</xdr:row>
      <xdr:rowOff>0</xdr:rowOff>
    </xdr:from>
    <xdr:to>
      <xdr:col>45</xdr:col>
      <xdr:colOff>136080</xdr:colOff>
      <xdr:row>34</xdr:row>
      <xdr:rowOff>128880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30</xdr:col>
      <xdr:colOff>136080</xdr:colOff>
      <xdr:row>51</xdr:row>
      <xdr:rowOff>128520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29</xdr:row>
      <xdr:rowOff>0</xdr:rowOff>
    </xdr:from>
    <xdr:to>
      <xdr:col>45</xdr:col>
      <xdr:colOff>136080</xdr:colOff>
      <xdr:row>51</xdr:row>
      <xdr:rowOff>128520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30</xdr:col>
      <xdr:colOff>136080</xdr:colOff>
      <xdr:row>68</xdr:row>
      <xdr:rowOff>128520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0</xdr:colOff>
      <xdr:row>46</xdr:row>
      <xdr:rowOff>0</xdr:rowOff>
    </xdr:from>
    <xdr:to>
      <xdr:col>45</xdr:col>
      <xdr:colOff>136080</xdr:colOff>
      <xdr:row>68</xdr:row>
      <xdr:rowOff>128520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56</xdr:row>
      <xdr:rowOff>0</xdr:rowOff>
    </xdr:from>
    <xdr:to>
      <xdr:col>27</xdr:col>
      <xdr:colOff>50400</xdr:colOff>
      <xdr:row>74</xdr:row>
      <xdr:rowOff>170640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15</xdr:col>
      <xdr:colOff>0</xdr:colOff>
      <xdr:row>56</xdr:row>
      <xdr:rowOff>0</xdr:rowOff>
    </xdr:from>
    <xdr:to>
      <xdr:col>42</xdr:col>
      <xdr:colOff>50400</xdr:colOff>
      <xdr:row>74</xdr:row>
      <xdr:rowOff>170640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30</xdr:col>
      <xdr:colOff>0</xdr:colOff>
      <xdr:row>12</xdr:row>
      <xdr:rowOff>0</xdr:rowOff>
    </xdr:from>
    <xdr:to>
      <xdr:col>51</xdr:col>
      <xdr:colOff>518760</xdr:colOff>
      <xdr:row>30</xdr:row>
      <xdr:rowOff>170640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2B55"/>
  </sheetPr>
  <dimension ref="A1:AX75"/>
  <sheetViews>
    <sheetView showGridLines="0" tabSelected="1" zoomScale="80" zoomScaleNormal="80" workbookViewId="0">
      <selection activeCell="BE13" sqref="BE13"/>
    </sheetView>
  </sheetViews>
  <sheetFormatPr defaultColWidth="8.6640625" defaultRowHeight="14.4" x14ac:dyDescent="0.3"/>
  <cols>
    <col min="1" max="49" width="3" customWidth="1"/>
  </cols>
  <sheetData>
    <row r="1" spans="1:50" ht="12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ht="12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ht="12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6" spans="1:50" ht="15.75" customHeight="1" x14ac:dyDescent="0.3">
      <c r="A6" s="4" t="s">
        <v>1</v>
      </c>
      <c r="B6" s="4"/>
      <c r="C6" s="4"/>
      <c r="D6" s="4"/>
      <c r="E6" s="4"/>
      <c r="F6" s="4"/>
      <c r="G6" s="4" t="s">
        <v>2</v>
      </c>
      <c r="H6" s="4"/>
      <c r="I6" s="4"/>
      <c r="J6" s="4"/>
      <c r="K6" s="4"/>
      <c r="L6" s="4"/>
      <c r="M6" s="4" t="s">
        <v>3</v>
      </c>
      <c r="N6" s="4"/>
      <c r="O6" s="4"/>
      <c r="P6" s="4"/>
      <c r="Q6" s="4"/>
      <c r="R6" s="4"/>
      <c r="S6" s="4" t="s">
        <v>4</v>
      </c>
      <c r="T6" s="4"/>
      <c r="U6" s="4"/>
      <c r="V6" s="4"/>
      <c r="W6" s="4"/>
      <c r="X6" s="4"/>
      <c r="Y6" s="4" t="s">
        <v>5</v>
      </c>
      <c r="Z6" s="4"/>
      <c r="AA6" s="4"/>
      <c r="AB6" s="4"/>
      <c r="AC6" s="4"/>
      <c r="AD6" s="4"/>
      <c r="AE6" s="4" t="s">
        <v>6</v>
      </c>
      <c r="AF6" s="4"/>
      <c r="AG6" s="4"/>
      <c r="AH6" s="4"/>
      <c r="AI6" s="4"/>
      <c r="AJ6" s="4"/>
      <c r="AK6" s="4" t="s">
        <v>7</v>
      </c>
      <c r="AL6" s="4"/>
      <c r="AM6" s="4"/>
      <c r="AN6" s="4"/>
      <c r="AO6" s="4"/>
      <c r="AP6" s="4"/>
      <c r="AQ6" s="4" t="s">
        <v>8</v>
      </c>
      <c r="AR6" s="4"/>
      <c r="AS6" s="4"/>
      <c r="AT6" s="4"/>
      <c r="AU6" s="4"/>
      <c r="AV6" s="4"/>
    </row>
    <row r="7" spans="1:50" ht="13.5" customHeight="1" x14ac:dyDescent="0.3">
      <c r="A7" s="1" t="s">
        <v>9</v>
      </c>
      <c r="B7" s="1"/>
      <c r="C7" s="1"/>
      <c r="D7" s="1"/>
      <c r="E7" s="1"/>
      <c r="F7" s="1"/>
      <c r="G7" s="1" t="s">
        <v>10</v>
      </c>
      <c r="H7" s="1"/>
      <c r="I7" s="1"/>
      <c r="J7" s="1"/>
      <c r="K7" s="1"/>
      <c r="L7" s="1"/>
      <c r="M7" s="1" t="s">
        <v>11</v>
      </c>
      <c r="N7" s="1"/>
      <c r="O7" s="1"/>
      <c r="P7" s="1"/>
      <c r="Q7" s="1"/>
      <c r="R7" s="1"/>
      <c r="S7" s="1" t="s">
        <v>12</v>
      </c>
      <c r="T7" s="1"/>
      <c r="U7" s="1"/>
      <c r="V7" s="1"/>
      <c r="W7" s="1"/>
      <c r="X7" s="1"/>
      <c r="Y7" s="1" t="s">
        <v>13</v>
      </c>
      <c r="Z7" s="1"/>
      <c r="AA7" s="1"/>
      <c r="AB7" s="1"/>
      <c r="AC7" s="1"/>
      <c r="AD7" s="1"/>
      <c r="AE7" s="1" t="s">
        <v>14</v>
      </c>
      <c r="AF7" s="1"/>
      <c r="AG7" s="1"/>
      <c r="AH7" s="1"/>
      <c r="AI7" s="1"/>
      <c r="AJ7" s="1"/>
      <c r="AK7" s="1" t="s">
        <v>15</v>
      </c>
      <c r="AL7" s="1"/>
      <c r="AM7" s="1"/>
      <c r="AN7" s="1"/>
      <c r="AO7" s="1"/>
      <c r="AP7" s="1"/>
      <c r="AQ7" s="1" t="s">
        <v>16</v>
      </c>
      <c r="AR7" s="1"/>
      <c r="AS7" s="1"/>
      <c r="AT7" s="1"/>
      <c r="AU7" s="1"/>
      <c r="AV7" s="1"/>
    </row>
    <row r="8" spans="1:50" ht="13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50" ht="13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50" ht="12" customHeight="1" x14ac:dyDescent="0.3">
      <c r="A10" s="2" t="s">
        <v>1</v>
      </c>
      <c r="B10" s="2"/>
      <c r="C10" s="2"/>
      <c r="D10" s="2"/>
      <c r="E10" s="2"/>
      <c r="F10" s="2"/>
      <c r="G10" s="2" t="s">
        <v>2</v>
      </c>
      <c r="H10" s="2"/>
      <c r="I10" s="2"/>
      <c r="J10" s="2"/>
      <c r="K10" s="2"/>
      <c r="L10" s="2"/>
      <c r="M10" s="2" t="s">
        <v>3</v>
      </c>
      <c r="N10" s="2"/>
      <c r="O10" s="2"/>
      <c r="P10" s="2"/>
      <c r="Q10" s="2"/>
      <c r="R10" s="2"/>
      <c r="S10" s="2" t="s">
        <v>4</v>
      </c>
      <c r="T10" s="2"/>
      <c r="U10" s="2"/>
      <c r="V10" s="2"/>
      <c r="W10" s="2"/>
      <c r="X10" s="2"/>
      <c r="Y10" s="2" t="s">
        <v>5</v>
      </c>
      <c r="Z10" s="2"/>
      <c r="AA10" s="2"/>
      <c r="AB10" s="2"/>
      <c r="AC10" s="2"/>
      <c r="AD10" s="2"/>
      <c r="AE10" s="2" t="s">
        <v>6</v>
      </c>
      <c r="AF10" s="2"/>
      <c r="AG10" s="2"/>
      <c r="AH10" s="2"/>
      <c r="AI10" s="2"/>
      <c r="AJ10" s="2"/>
      <c r="AK10" s="2" t="s">
        <v>7</v>
      </c>
      <c r="AL10" s="2"/>
      <c r="AM10" s="2"/>
      <c r="AN10" s="2"/>
      <c r="AO10" s="2"/>
      <c r="AP10" s="2"/>
      <c r="AQ10" s="2" t="s">
        <v>8</v>
      </c>
      <c r="AR10" s="2"/>
      <c r="AS10" s="2"/>
      <c r="AT10" s="2"/>
      <c r="AU10" s="2"/>
      <c r="AV10" s="2"/>
    </row>
    <row r="60" spans="1:31" x14ac:dyDescent="0.3">
      <c r="A60" t="s">
        <v>17</v>
      </c>
      <c r="B60" t="s">
        <v>18</v>
      </c>
      <c r="C60" t="s">
        <v>19</v>
      </c>
      <c r="E60" t="s">
        <v>20</v>
      </c>
      <c r="F60" t="s">
        <v>18</v>
      </c>
      <c r="H60" t="s">
        <v>21</v>
      </c>
      <c r="I60" t="s">
        <v>18</v>
      </c>
      <c r="J60" t="s">
        <v>22</v>
      </c>
      <c r="L60" t="s">
        <v>23</v>
      </c>
      <c r="M60" t="s">
        <v>24</v>
      </c>
      <c r="O60" t="s">
        <v>20</v>
      </c>
      <c r="P60" t="s">
        <v>25</v>
      </c>
      <c r="R60" t="s">
        <v>26</v>
      </c>
      <c r="S60" t="s">
        <v>27</v>
      </c>
      <c r="T60" t="s">
        <v>18</v>
      </c>
      <c r="V60" t="s">
        <v>28</v>
      </c>
      <c r="W60" t="s">
        <v>25</v>
      </c>
      <c r="Z60" t="s">
        <v>29</v>
      </c>
      <c r="AA60" t="s">
        <v>18</v>
      </c>
      <c r="AB60" t="s">
        <v>19</v>
      </c>
      <c r="AD60" t="s">
        <v>30</v>
      </c>
      <c r="AE60" t="s">
        <v>18</v>
      </c>
    </row>
    <row r="61" spans="1:31" x14ac:dyDescent="0.3">
      <c r="A61" t="s">
        <v>31</v>
      </c>
      <c r="B61">
        <v>1311603</v>
      </c>
      <c r="C61">
        <v>1145</v>
      </c>
      <c r="E61" t="s">
        <v>32</v>
      </c>
      <c r="F61">
        <v>10481898</v>
      </c>
      <c r="H61" t="s">
        <v>33</v>
      </c>
      <c r="I61">
        <v>7661437</v>
      </c>
      <c r="J61">
        <v>14.53</v>
      </c>
      <c r="L61" t="s">
        <v>34</v>
      </c>
      <c r="M61">
        <v>1763</v>
      </c>
      <c r="O61" t="s">
        <v>35</v>
      </c>
      <c r="P61">
        <v>3.92</v>
      </c>
      <c r="R61" t="s">
        <v>36</v>
      </c>
      <c r="S61">
        <v>1080</v>
      </c>
      <c r="T61">
        <v>10687226</v>
      </c>
      <c r="V61" t="s">
        <v>37</v>
      </c>
      <c r="W61">
        <v>3.91</v>
      </c>
      <c r="Z61" t="s">
        <v>38</v>
      </c>
      <c r="AA61">
        <v>2588332</v>
      </c>
      <c r="AB61">
        <v>2010</v>
      </c>
      <c r="AD61" t="s">
        <v>39</v>
      </c>
      <c r="AE61">
        <v>5646596</v>
      </c>
    </row>
    <row r="62" spans="1:31" x14ac:dyDescent="0.3">
      <c r="A62" t="s">
        <v>40</v>
      </c>
      <c r="B62">
        <v>1409777</v>
      </c>
      <c r="C62">
        <v>1078</v>
      </c>
      <c r="E62" t="s">
        <v>41</v>
      </c>
      <c r="F62">
        <v>4023904</v>
      </c>
      <c r="H62" t="s">
        <v>42</v>
      </c>
      <c r="I62">
        <v>12028685</v>
      </c>
      <c r="J62">
        <v>14.52</v>
      </c>
      <c r="L62" t="s">
        <v>43</v>
      </c>
      <c r="M62">
        <v>888</v>
      </c>
      <c r="O62" t="s">
        <v>44</v>
      </c>
      <c r="P62">
        <v>3.88</v>
      </c>
      <c r="R62" t="s">
        <v>45</v>
      </c>
      <c r="S62">
        <v>1548</v>
      </c>
      <c r="T62">
        <v>7447314</v>
      </c>
      <c r="V62" t="s">
        <v>46</v>
      </c>
      <c r="W62">
        <v>3.9</v>
      </c>
      <c r="Z62" t="s">
        <v>47</v>
      </c>
      <c r="AA62">
        <v>19190720</v>
      </c>
      <c r="AB62">
        <v>15039</v>
      </c>
      <c r="AD62" t="s">
        <v>48</v>
      </c>
      <c r="AE62">
        <v>3052443</v>
      </c>
    </row>
    <row r="63" spans="1:31" x14ac:dyDescent="0.3">
      <c r="A63" t="s">
        <v>49</v>
      </c>
      <c r="B63">
        <v>1458006</v>
      </c>
      <c r="C63">
        <v>1085</v>
      </c>
      <c r="E63" t="s">
        <v>50</v>
      </c>
      <c r="F63">
        <v>3205087</v>
      </c>
      <c r="H63" t="s">
        <v>51</v>
      </c>
      <c r="I63">
        <v>2088930</v>
      </c>
      <c r="J63">
        <v>14.61</v>
      </c>
      <c r="L63" t="s">
        <v>52</v>
      </c>
      <c r="M63">
        <v>6801</v>
      </c>
      <c r="O63" t="s">
        <v>32</v>
      </c>
      <c r="P63">
        <v>3.9</v>
      </c>
      <c r="R63" t="s">
        <v>53</v>
      </c>
      <c r="S63">
        <v>1325</v>
      </c>
      <c r="T63">
        <v>2886627</v>
      </c>
      <c r="V63" t="s">
        <v>54</v>
      </c>
      <c r="W63">
        <v>3.89</v>
      </c>
      <c r="AD63" t="s">
        <v>55</v>
      </c>
      <c r="AE63">
        <v>2651744</v>
      </c>
    </row>
    <row r="64" spans="1:31" x14ac:dyDescent="0.3">
      <c r="A64" t="s">
        <v>56</v>
      </c>
      <c r="B64">
        <v>1499648</v>
      </c>
      <c r="C64">
        <v>1142</v>
      </c>
      <c r="E64" t="s">
        <v>57</v>
      </c>
      <c r="F64">
        <v>1577036</v>
      </c>
      <c r="L64" t="s">
        <v>58</v>
      </c>
      <c r="M64">
        <v>4321</v>
      </c>
      <c r="O64" t="s">
        <v>57</v>
      </c>
      <c r="P64">
        <v>3.89</v>
      </c>
      <c r="R64" t="s">
        <v>59</v>
      </c>
      <c r="S64">
        <v>580</v>
      </c>
      <c r="T64">
        <v>575284</v>
      </c>
      <c r="AD64" t="s">
        <v>60</v>
      </c>
      <c r="AE64">
        <v>2317028</v>
      </c>
    </row>
    <row r="65" spans="1:31" x14ac:dyDescent="0.3">
      <c r="A65" t="s">
        <v>61</v>
      </c>
      <c r="B65">
        <v>1483512</v>
      </c>
      <c r="C65">
        <v>1214</v>
      </c>
      <c r="E65" t="s">
        <v>62</v>
      </c>
      <c r="F65">
        <v>1014238</v>
      </c>
      <c r="L65" t="s">
        <v>63</v>
      </c>
      <c r="M65">
        <v>3276</v>
      </c>
      <c r="O65" t="s">
        <v>64</v>
      </c>
      <c r="P65">
        <v>3.86</v>
      </c>
      <c r="R65" t="s">
        <v>65</v>
      </c>
      <c r="S65">
        <v>467</v>
      </c>
      <c r="T65">
        <v>182602</v>
      </c>
      <c r="AD65" t="s">
        <v>66</v>
      </c>
      <c r="AE65">
        <v>1661594</v>
      </c>
    </row>
    <row r="66" spans="1:31" x14ac:dyDescent="0.3">
      <c r="A66" t="s">
        <v>67</v>
      </c>
      <c r="B66">
        <v>1380985</v>
      </c>
      <c r="C66">
        <v>1088</v>
      </c>
      <c r="E66" t="s">
        <v>35</v>
      </c>
      <c r="F66">
        <v>694437</v>
      </c>
      <c r="O66" t="s">
        <v>41</v>
      </c>
      <c r="P66">
        <v>3.93</v>
      </c>
    </row>
    <row r="67" spans="1:31" x14ac:dyDescent="0.3">
      <c r="A67" t="s">
        <v>68</v>
      </c>
      <c r="B67">
        <v>1560046</v>
      </c>
      <c r="C67">
        <v>1195</v>
      </c>
      <c r="E67" t="s">
        <v>64</v>
      </c>
      <c r="F67">
        <v>422055</v>
      </c>
      <c r="O67" t="s">
        <v>50</v>
      </c>
      <c r="P67">
        <v>3.92</v>
      </c>
    </row>
    <row r="68" spans="1:31" x14ac:dyDescent="0.3">
      <c r="A68" t="s">
        <v>69</v>
      </c>
      <c r="B68">
        <v>1511000</v>
      </c>
      <c r="C68">
        <v>1178</v>
      </c>
      <c r="E68" t="s">
        <v>44</v>
      </c>
      <c r="F68">
        <v>360399</v>
      </c>
      <c r="O68" t="s">
        <v>62</v>
      </c>
      <c r="P68">
        <v>3.9</v>
      </c>
    </row>
    <row r="69" spans="1:31" x14ac:dyDescent="0.3">
      <c r="A69" t="s">
        <v>70</v>
      </c>
      <c r="B69">
        <v>1502164</v>
      </c>
      <c r="C69">
        <v>1134</v>
      </c>
    </row>
    <row r="70" spans="1:31" x14ac:dyDescent="0.3">
      <c r="A70" t="s">
        <v>71</v>
      </c>
      <c r="B70">
        <v>1536847</v>
      </c>
      <c r="C70">
        <v>1185</v>
      </c>
    </row>
    <row r="71" spans="1:31" x14ac:dyDescent="0.3">
      <c r="A71" t="s">
        <v>72</v>
      </c>
      <c r="B71">
        <v>1446440</v>
      </c>
      <c r="C71">
        <v>1151</v>
      </c>
    </row>
    <row r="72" spans="1:31" x14ac:dyDescent="0.3">
      <c r="A72" t="s">
        <v>73</v>
      </c>
      <c r="B72">
        <v>1586214</v>
      </c>
      <c r="C72">
        <v>1215</v>
      </c>
    </row>
    <row r="73" spans="1:31" x14ac:dyDescent="0.3">
      <c r="A73" t="s">
        <v>74</v>
      </c>
      <c r="B73">
        <v>1490825</v>
      </c>
      <c r="C73">
        <v>1211</v>
      </c>
    </row>
    <row r="74" spans="1:31" x14ac:dyDescent="0.3">
      <c r="A74" t="s">
        <v>75</v>
      </c>
      <c r="B74">
        <v>1329884</v>
      </c>
      <c r="C74">
        <v>1053</v>
      </c>
    </row>
    <row r="75" spans="1:31" x14ac:dyDescent="0.3">
      <c r="A75" t="s">
        <v>76</v>
      </c>
      <c r="B75">
        <v>1272102</v>
      </c>
      <c r="C75">
        <v>975</v>
      </c>
    </row>
  </sheetData>
  <mergeCells count="25">
    <mergeCell ref="A1:AX4"/>
    <mergeCell ref="A6:F6"/>
    <mergeCell ref="G6:L6"/>
    <mergeCell ref="M6:R6"/>
    <mergeCell ref="S6:X6"/>
    <mergeCell ref="Y6:AD6"/>
    <mergeCell ref="AE6:AJ6"/>
    <mergeCell ref="AK6:AP6"/>
    <mergeCell ref="AQ6:AV6"/>
    <mergeCell ref="AE7:AJ9"/>
    <mergeCell ref="AK7:AP9"/>
    <mergeCell ref="AQ7:AV9"/>
    <mergeCell ref="A10:F10"/>
    <mergeCell ref="G10:L10"/>
    <mergeCell ref="M10:R10"/>
    <mergeCell ref="S10:X10"/>
    <mergeCell ref="Y10:AD10"/>
    <mergeCell ref="AE10:AJ10"/>
    <mergeCell ref="AK10:AP10"/>
    <mergeCell ref="AQ10:AV10"/>
    <mergeCell ref="A7:F9"/>
    <mergeCell ref="G7:L9"/>
    <mergeCell ref="M7:R9"/>
    <mergeCell ref="S7:X9"/>
    <mergeCell ref="Y7:AD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 Phewa (22215297)</cp:lastModifiedBy>
  <cp:revision>1</cp:revision>
  <dcterms:created xsi:type="dcterms:W3CDTF">2026-04-01T11:58:02Z</dcterms:created>
  <dcterms:modified xsi:type="dcterms:W3CDTF">2026-04-21T19:49:38Z</dcterms:modified>
  <dc:language>en-US</dc:language>
</cp:coreProperties>
</file>